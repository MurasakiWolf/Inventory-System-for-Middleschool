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F Proyecto Final" sheetId="1" r:id="rId5"/>
  </sheets>
  <definedNames/>
  <calcPr/>
</workbook>
</file>

<file path=xl/sharedStrings.xml><?xml version="1.0" encoding="utf-8"?>
<sst xmlns="http://schemas.openxmlformats.org/spreadsheetml/2006/main" count="112" uniqueCount="60">
  <si>
    <t>Bajo</t>
  </si>
  <si>
    <t>Medio</t>
  </si>
  <si>
    <t>Alto</t>
  </si>
  <si>
    <t>Totales</t>
  </si>
  <si>
    <t>ILF</t>
  </si>
  <si>
    <t>EIF</t>
  </si>
  <si>
    <t>EI</t>
  </si>
  <si>
    <t>EO</t>
  </si>
  <si>
    <t>EQ</t>
  </si>
  <si>
    <t>UFP</t>
  </si>
  <si>
    <t>TIPO: ILF</t>
  </si>
  <si>
    <t>DESCRIPCIÓN</t>
  </si>
  <si>
    <t>RET (TABLAS)</t>
  </si>
  <si>
    <t>DET (CAMPOS)</t>
  </si>
  <si>
    <t>COMPLEJIDAD</t>
  </si>
  <si>
    <t>TIPO: EIF</t>
  </si>
  <si>
    <t>Mobiliario</t>
  </si>
  <si>
    <t>Usuario</t>
  </si>
  <si>
    <t>Mantenimiento</t>
  </si>
  <si>
    <t>Historial</t>
  </si>
  <si>
    <t>Localizacion</t>
  </si>
  <si>
    <t>MensajeError</t>
  </si>
  <si>
    <t>TIPO</t>
  </si>
  <si>
    <t>FTR</t>
  </si>
  <si>
    <t>DET</t>
  </si>
  <si>
    <t>Alta de mobiliario</t>
  </si>
  <si>
    <t>Reporte de inventario en archivo .cvv (Excel)</t>
  </si>
  <si>
    <t>Consulta de historial</t>
  </si>
  <si>
    <t>Modificación de mobiliario</t>
  </si>
  <si>
    <t>Reporte de inventario en archivo .pdf</t>
  </si>
  <si>
    <t>Constulta de inventario actual</t>
  </si>
  <si>
    <t>Eliminar mobiliario</t>
  </si>
  <si>
    <t>Consulta de mantenimiento</t>
  </si>
  <si>
    <t>Cambio de contraseña</t>
  </si>
  <si>
    <t>Consulta de mobiliario individual</t>
  </si>
  <si>
    <t>Registro de mantenimiento</t>
  </si>
  <si>
    <t>Consulta por localización</t>
  </si>
  <si>
    <t>Registro de localización</t>
  </si>
  <si>
    <t>Modificación de localización</t>
  </si>
  <si>
    <t>Eliminar localización</t>
  </si>
  <si>
    <t>FACTORES PARA DETERMINAR EL VALOR DE AJUSTE</t>
  </si>
  <si>
    <t>Característica del Sistema</t>
  </si>
  <si>
    <t>Grado de Influencia</t>
  </si>
  <si>
    <t>1. Comunicación de datos</t>
  </si>
  <si>
    <t>2. Proceso distribuido de datos</t>
  </si>
  <si>
    <t>3. Desempeño</t>
  </si>
  <si>
    <t>4. Configuración</t>
  </si>
  <si>
    <t>5. Volumen de transacciones</t>
  </si>
  <si>
    <t>6. Captura de datos en línea</t>
  </si>
  <si>
    <t>7. Eficiencia al usuario final</t>
  </si>
  <si>
    <t>8. Actualización de datos en línea</t>
  </si>
  <si>
    <t>9. Complejidad</t>
  </si>
  <si>
    <t>10. Reusabilidad</t>
  </si>
  <si>
    <t>11. Facilidad de instalación</t>
  </si>
  <si>
    <t>12. Facilidad de operación</t>
  </si>
  <si>
    <t>13. Instalación múltiple</t>
  </si>
  <si>
    <t>14. Facilidad de cambio</t>
  </si>
  <si>
    <t>TOTAL (TDI)</t>
  </si>
  <si>
    <t>VAF</t>
  </si>
  <si>
    <t>FP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</si>
</sst>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Montserrat"/>
    </font>
    <font>
      <sz val="12.0"/>
      <color theme="1"/>
      <name val="Montserrat"/>
    </font>
    <font/>
  </fonts>
  <fills count="8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3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5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horizontal="center" shrinkToFit="0" wrapText="1"/>
    </xf>
    <xf borderId="11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 shrinkToFit="0" wrapText="1"/>
    </xf>
    <xf borderId="10" fillId="0" fontId="1" numFmtId="0" xfId="0" applyAlignment="1" applyBorder="1" applyFont="1">
      <alignment horizontal="center" readingOrder="0" shrinkToFit="0" wrapText="1"/>
    </xf>
    <xf borderId="13" fillId="0" fontId="1" numFmtId="0" xfId="0" applyAlignment="1" applyBorder="1" applyFont="1">
      <alignment readingOrder="0" shrinkToFit="0" wrapText="1"/>
    </xf>
    <xf borderId="14" fillId="0" fontId="1" numFmtId="0" xfId="0" applyAlignment="1" applyBorder="1" applyFont="1">
      <alignment horizontal="center" readingOrder="0" shrinkToFit="0" wrapText="1"/>
    </xf>
    <xf borderId="15" fillId="0" fontId="1" numFmtId="0" xfId="0" applyAlignment="1" applyBorder="1" applyFont="1">
      <alignment horizontal="center" shrinkToFit="0" wrapText="1"/>
    </xf>
    <xf borderId="16" fillId="0" fontId="1" numFmtId="0" xfId="0" applyAlignment="1" applyBorder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readingOrder="0" shrinkToFit="0" wrapText="1"/>
    </xf>
    <xf borderId="17" fillId="0" fontId="1" numFmtId="0" xfId="0" applyAlignment="1" applyBorder="1" applyFont="1">
      <alignment readingOrder="0" shrinkToFit="0" wrapText="1"/>
    </xf>
    <xf borderId="18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8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shrinkToFit="0" wrapText="1"/>
    </xf>
    <xf borderId="20" fillId="0" fontId="1" numFmtId="0" xfId="0" applyAlignment="1" applyBorder="1" applyFont="1">
      <alignment readingOrder="0" shrinkToFit="0" wrapText="1"/>
    </xf>
    <xf borderId="21" fillId="0" fontId="1" numFmtId="0" xfId="0" applyAlignment="1" applyBorder="1" applyFont="1">
      <alignment readingOrder="0" shrinkToFit="0" wrapText="1"/>
    </xf>
    <xf borderId="20" fillId="0" fontId="1" numFmtId="0" xfId="0" applyAlignment="1" applyBorder="1" applyFont="1">
      <alignment shrinkToFit="0" wrapText="1"/>
    </xf>
    <xf borderId="21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readingOrder="0" shrinkToFit="0" wrapText="1"/>
    </xf>
    <xf borderId="22" fillId="0" fontId="1" numFmtId="0" xfId="0" applyAlignment="1" applyBorder="1" applyFont="1">
      <alignment readingOrder="0" shrinkToFit="0" wrapText="1"/>
    </xf>
    <xf borderId="23" fillId="0" fontId="1" numFmtId="0" xfId="0" applyAlignment="1" applyBorder="1" applyFont="1">
      <alignment readingOrder="0" shrinkToFit="0" wrapText="1"/>
    </xf>
    <xf borderId="24" fillId="0" fontId="1" numFmtId="0" xfId="0" applyAlignment="1" applyBorder="1" applyFont="1">
      <alignment readingOrder="0" shrinkToFit="0" wrapText="1"/>
    </xf>
    <xf borderId="24" fillId="0" fontId="1" numFmtId="0" xfId="0" applyAlignment="1" applyBorder="1" applyFont="1">
      <alignment shrinkToFit="0" wrapText="1"/>
    </xf>
    <xf borderId="25" fillId="0" fontId="1" numFmtId="0" xfId="0" applyAlignment="1" applyBorder="1" applyFont="1">
      <alignment shrinkToFit="0" wrapText="1"/>
    </xf>
    <xf borderId="25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horizontal="center" shrinkToFit="0" vertical="bottom" wrapText="1"/>
    </xf>
    <xf borderId="22" fillId="0" fontId="4" numFmtId="0" xfId="0" applyAlignment="1" applyBorder="1" applyFont="1">
      <alignment shrinkToFit="0" vertical="bottom" wrapText="1"/>
    </xf>
    <xf borderId="17" fillId="0" fontId="5" numFmtId="0" xfId="0" applyBorder="1" applyFont="1"/>
    <xf borderId="26" fillId="0" fontId="5" numFmtId="0" xfId="0" applyBorder="1" applyFont="1"/>
    <xf borderId="22" fillId="0" fontId="4" numFmtId="0" xfId="0" applyAlignment="1" applyBorder="1" applyFont="1">
      <alignment horizontal="center" shrinkToFit="0" vertical="bottom" wrapText="1"/>
    </xf>
    <xf borderId="27" fillId="0" fontId="4" numFmtId="0" xfId="0" applyAlignment="1" applyBorder="1" applyFont="1">
      <alignment shrinkToFit="0" vertical="bottom" wrapText="1"/>
    </xf>
    <xf borderId="28" fillId="0" fontId="5" numFmtId="0" xfId="0" applyBorder="1" applyFont="1"/>
    <xf borderId="29" fillId="0" fontId="5" numFmtId="0" xfId="0" applyBorder="1" applyFont="1"/>
    <xf borderId="27" fillId="0" fontId="4" numFmtId="0" xfId="0" applyAlignment="1" applyBorder="1" applyFont="1">
      <alignment horizontal="center" readingOrder="0" shrinkToFit="0" vertical="bottom" wrapText="1"/>
    </xf>
    <xf borderId="30" fillId="0" fontId="4" numFmtId="0" xfId="0" applyAlignment="1" applyBorder="1" applyFont="1">
      <alignment shrinkToFit="0" vertical="bottom" wrapText="1"/>
    </xf>
    <xf borderId="31" fillId="0" fontId="5" numFmtId="0" xfId="0" applyBorder="1" applyFont="1"/>
    <xf borderId="32" fillId="0" fontId="5" numFmtId="0" xfId="0" applyBorder="1" applyFont="1"/>
    <xf borderId="30" fillId="0" fontId="4" numFmtId="0" xfId="0" applyAlignment="1" applyBorder="1" applyFont="1">
      <alignment horizontal="center" readingOrder="0" shrinkToFit="0" vertical="bottom" wrapText="1"/>
    </xf>
    <xf borderId="30" fillId="0" fontId="4" numFmtId="0" xfId="0" applyAlignment="1" applyBorder="1" applyFont="1">
      <alignment horizontal="center" shrinkToFit="0" vertical="bottom" wrapText="1"/>
    </xf>
    <xf borderId="33" fillId="0" fontId="4" numFmtId="0" xfId="0" applyAlignment="1" applyBorder="1" applyFont="1">
      <alignment shrinkToFit="0" vertical="bottom" wrapText="1"/>
    </xf>
    <xf borderId="34" fillId="0" fontId="5" numFmtId="0" xfId="0" applyBorder="1" applyFont="1"/>
    <xf borderId="35" fillId="0" fontId="5" numFmtId="0" xfId="0" applyBorder="1" applyFont="1"/>
    <xf borderId="33" fillId="0" fontId="4" numFmtId="0" xfId="0" applyAlignment="1" applyBorder="1" applyFont="1">
      <alignment horizontal="center" shrinkToFit="0" vertical="bottom" wrapText="1"/>
    </xf>
    <xf borderId="22" fillId="4" fontId="3" numFmtId="0" xfId="0" applyAlignment="1" applyBorder="1" applyFill="1" applyFont="1">
      <alignment horizontal="center" shrinkToFit="0" vertical="bottom" wrapText="1"/>
    </xf>
    <xf borderId="22" fillId="5" fontId="3" numFmtId="0" xfId="0" applyAlignment="1" applyBorder="1" applyFill="1" applyFont="1">
      <alignment horizontal="center" shrinkToFit="0" vertical="bottom" wrapText="1"/>
    </xf>
    <xf borderId="22" fillId="2" fontId="3" numFmtId="0" xfId="0" applyAlignment="1" applyBorder="1" applyFont="1">
      <alignment horizontal="center" shrinkToFit="0" vertical="bottom" wrapText="1"/>
    </xf>
    <xf borderId="22" fillId="3" fontId="3" numFmtId="0" xfId="0" applyAlignment="1" applyBorder="1" applyFont="1">
      <alignment horizontal="center" shrinkToFit="0" vertical="bottom" wrapText="1"/>
    </xf>
    <xf borderId="22" fillId="6" fontId="3" numFmtId="0" xfId="0" applyAlignment="1" applyBorder="1" applyFill="1" applyFont="1">
      <alignment horizontal="center" shrinkToFit="0" vertical="bottom" wrapText="1"/>
    </xf>
    <xf borderId="22" fillId="7" fontId="3" numFmtId="0" xfId="0" applyAlignment="1" applyBorder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25"/>
    <col customWidth="1" min="4" max="4" width="14.13"/>
    <col customWidth="1" min="5" max="5" width="13.38"/>
    <col customWidth="1" min="8" max="8" width="17.38"/>
    <col customWidth="1" min="10" max="10" width="13.13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</v>
      </c>
      <c r="B2" s="7">
        <f>COUNTIF($E$10:$E$15,"L")*7</f>
        <v>42</v>
      </c>
      <c r="C2" s="8">
        <f>COUNTIF($E$10:$E$15,"A")*10</f>
        <v>0</v>
      </c>
      <c r="D2" s="8">
        <f>COUNTIF($E$10:$E$15,"H")*15</f>
        <v>0</v>
      </c>
      <c r="E2" s="9">
        <f t="shared" ref="E2:E6" si="1">SUM(B2:D2)</f>
        <v>42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5</v>
      </c>
      <c r="B3" s="11">
        <f>COUNTIF($K$10:$K$15,"L")*5</f>
        <v>0</v>
      </c>
      <c r="C3" s="12">
        <f>COUNTIF($K$10:$K$15,"A")*7</f>
        <v>0</v>
      </c>
      <c r="D3" s="12">
        <f>COUNTIF($K$10:$K$15,"H")*10</f>
        <v>0</v>
      </c>
      <c r="E3" s="13">
        <f t="shared" si="1"/>
        <v>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6</v>
      </c>
      <c r="B4" s="14">
        <f>COUNTIF($E$21:$E$28,"L")*3</f>
        <v>24</v>
      </c>
      <c r="C4" s="12">
        <f>COUNTIF($E$21:$E$28,"A")*4</f>
        <v>0</v>
      </c>
      <c r="D4" s="12">
        <f>COUNTIF($E$21:$E$28,"H")*6</f>
        <v>0</v>
      </c>
      <c r="E4" s="13">
        <f t="shared" si="1"/>
        <v>24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7</v>
      </c>
      <c r="B5" s="14">
        <f>COUNTIF($K$21:$K$28,"L")*4</f>
        <v>8</v>
      </c>
      <c r="C5" s="12">
        <f>COUNTIF($K$21:$K$28,"A")*5</f>
        <v>0</v>
      </c>
      <c r="D5" s="12">
        <f>COUNTIF($K$21:$K$28,"H")*7</f>
        <v>0</v>
      </c>
      <c r="E5" s="13">
        <f t="shared" si="1"/>
        <v>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5" t="s">
        <v>8</v>
      </c>
      <c r="B6" s="16">
        <f>COUNTIF($Q$21:$Q$28,"L")*3</f>
        <v>9</v>
      </c>
      <c r="C6" s="17">
        <f>COUNTIF($Q$21:$Q$28,"A")*4</f>
        <v>8</v>
      </c>
      <c r="D6" s="17">
        <f>COUNTIF($Q$21:$Q$28,"H")*6</f>
        <v>0</v>
      </c>
      <c r="E6" s="18">
        <f t="shared" si="1"/>
        <v>17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19" t="s">
        <v>9</v>
      </c>
      <c r="E7" s="20">
        <f>SUM(E2:E6)</f>
        <v>91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" t="s">
        <v>10</v>
      </c>
      <c r="B9" s="22" t="s">
        <v>11</v>
      </c>
      <c r="C9" s="21" t="s">
        <v>12</v>
      </c>
      <c r="D9" s="22" t="s">
        <v>13</v>
      </c>
      <c r="E9" s="21" t="s">
        <v>14</v>
      </c>
      <c r="F9" s="5"/>
      <c r="G9" s="21" t="s">
        <v>15</v>
      </c>
      <c r="H9" s="22" t="s">
        <v>11</v>
      </c>
      <c r="I9" s="21" t="s">
        <v>12</v>
      </c>
      <c r="J9" s="22" t="s">
        <v>13</v>
      </c>
      <c r="K9" s="21" t="s">
        <v>14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3" t="s">
        <v>4</v>
      </c>
      <c r="B10" s="24" t="s">
        <v>16</v>
      </c>
      <c r="C10" s="23">
        <v>1.0</v>
      </c>
      <c r="D10" s="24">
        <v>10.0</v>
      </c>
      <c r="E10" s="25" t="str">
        <f t="shared" ref="E10:E15" si="2">IF($C10=0,"N",IF(C10=1,IF(D10&lt;=50,"L","A"),IF(C10&lt;=6,IF(D10&lt;20,"L",IF(D10&lt;=50,"A","H")),IF(D10&lt;20,"A","H"))))</f>
        <v>L</v>
      </c>
      <c r="F10" s="5"/>
      <c r="G10" s="23" t="s">
        <v>5</v>
      </c>
      <c r="H10" s="24"/>
      <c r="I10" s="23"/>
      <c r="J10" s="24"/>
      <c r="K10" s="26" t="str">
        <f t="shared" ref="K10:K15" si="3">IF($I10=0,"N",IF(I10=1,IF(J10&lt;=50,"L","A"),IF(I10&lt;=6,IF(J10&lt;20,"L",IF(J10&lt;=50,"A","H")),IF(J10&lt;20,"A","H"))))</f>
        <v>N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3" t="s">
        <v>4</v>
      </c>
      <c r="B11" s="24" t="s">
        <v>17</v>
      </c>
      <c r="C11" s="23">
        <v>1.0</v>
      </c>
      <c r="D11" s="24">
        <v>2.0</v>
      </c>
      <c r="E11" s="25" t="str">
        <f t="shared" si="2"/>
        <v>L</v>
      </c>
      <c r="F11" s="5"/>
      <c r="G11" s="23" t="s">
        <v>5</v>
      </c>
      <c r="H11" s="24"/>
      <c r="I11" s="23"/>
      <c r="J11" s="24"/>
      <c r="K11" s="25" t="str">
        <f t="shared" si="3"/>
        <v>N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3" t="s">
        <v>4</v>
      </c>
      <c r="B12" s="24" t="s">
        <v>18</v>
      </c>
      <c r="C12" s="23">
        <v>1.0</v>
      </c>
      <c r="D12" s="24">
        <v>5.0</v>
      </c>
      <c r="E12" s="25" t="str">
        <f t="shared" si="2"/>
        <v>L</v>
      </c>
      <c r="F12" s="5"/>
      <c r="G12" s="23" t="s">
        <v>5</v>
      </c>
      <c r="H12" s="24"/>
      <c r="I12" s="23"/>
      <c r="J12" s="24"/>
      <c r="K12" s="25" t="str">
        <f t="shared" si="3"/>
        <v>N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3" t="s">
        <v>4</v>
      </c>
      <c r="B13" s="24" t="s">
        <v>19</v>
      </c>
      <c r="C13" s="23">
        <v>1.0</v>
      </c>
      <c r="D13" s="24">
        <v>3.0</v>
      </c>
      <c r="E13" s="25" t="str">
        <f t="shared" si="2"/>
        <v>L</v>
      </c>
      <c r="F13" s="5"/>
      <c r="G13" s="23" t="s">
        <v>5</v>
      </c>
      <c r="H13" s="5"/>
      <c r="I13" s="25"/>
      <c r="J13" s="5"/>
      <c r="K13" s="25" t="str">
        <f t="shared" si="3"/>
        <v>N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3" t="s">
        <v>4</v>
      </c>
      <c r="B14" s="24" t="s">
        <v>20</v>
      </c>
      <c r="C14" s="23">
        <v>1.0</v>
      </c>
      <c r="D14" s="24">
        <v>2.0</v>
      </c>
      <c r="E14" s="25" t="str">
        <f t="shared" si="2"/>
        <v>L</v>
      </c>
      <c r="F14" s="5"/>
      <c r="G14" s="23" t="s">
        <v>5</v>
      </c>
      <c r="H14" s="5"/>
      <c r="I14" s="25"/>
      <c r="J14" s="5"/>
      <c r="K14" s="25" t="str">
        <f t="shared" si="3"/>
        <v>N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7" t="s">
        <v>4</v>
      </c>
      <c r="B15" s="28" t="s">
        <v>21</v>
      </c>
      <c r="C15" s="27">
        <v>1.0</v>
      </c>
      <c r="D15" s="28">
        <v>2.0</v>
      </c>
      <c r="E15" s="29" t="str">
        <f t="shared" si="2"/>
        <v>L</v>
      </c>
      <c r="F15" s="5"/>
      <c r="G15" s="27" t="s">
        <v>5</v>
      </c>
      <c r="H15" s="30"/>
      <c r="I15" s="29"/>
      <c r="J15" s="30"/>
      <c r="K15" s="29" t="str">
        <f t="shared" si="3"/>
        <v>N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22</v>
      </c>
      <c r="B20" s="22" t="s">
        <v>11</v>
      </c>
      <c r="C20" s="21" t="s">
        <v>23</v>
      </c>
      <c r="D20" s="22" t="s">
        <v>24</v>
      </c>
      <c r="E20" s="31" t="s">
        <v>14</v>
      </c>
      <c r="F20" s="5"/>
      <c r="G20" s="32" t="s">
        <v>22</v>
      </c>
      <c r="H20" s="21" t="s">
        <v>11</v>
      </c>
      <c r="I20" s="22" t="s">
        <v>23</v>
      </c>
      <c r="J20" s="21" t="s">
        <v>24</v>
      </c>
      <c r="K20" s="33" t="s">
        <v>14</v>
      </c>
      <c r="L20" s="5"/>
      <c r="M20" s="21" t="s">
        <v>22</v>
      </c>
      <c r="N20" s="22" t="s">
        <v>11</v>
      </c>
      <c r="O20" s="21" t="s">
        <v>23</v>
      </c>
      <c r="P20" s="21" t="s">
        <v>24</v>
      </c>
      <c r="Q20" s="33" t="s">
        <v>14</v>
      </c>
      <c r="R20" s="5"/>
      <c r="S20" s="5"/>
      <c r="T20" s="5"/>
      <c r="U20" s="5"/>
      <c r="V20" s="5"/>
      <c r="W20" s="5"/>
      <c r="X20" s="5"/>
      <c r="Y20" s="5"/>
      <c r="Z20" s="5"/>
    </row>
    <row r="21">
      <c r="A21" s="23" t="s">
        <v>6</v>
      </c>
      <c r="B21" s="24" t="s">
        <v>25</v>
      </c>
      <c r="C21" s="23">
        <v>3.0</v>
      </c>
      <c r="D21" s="24">
        <v>14.0</v>
      </c>
      <c r="E21" s="26" t="str">
        <f t="shared" ref="E21:E28" si="4">IF($C21=0,"N",IF(C21=1,IF(D21&lt;=50,"L","A"),IF(C21&lt;=6,IF(D21&lt;20,"L",IF(D21&lt;=50,"A","H")),IF(D21&lt;20,"A","H"))))</f>
        <v>L</v>
      </c>
      <c r="F21" s="5"/>
      <c r="G21" s="31" t="s">
        <v>7</v>
      </c>
      <c r="H21" s="23" t="s">
        <v>26</v>
      </c>
      <c r="I21" s="24">
        <v>2.0</v>
      </c>
      <c r="J21" s="34">
        <v>11.0</v>
      </c>
      <c r="K21" s="26" t="str">
        <f t="shared" ref="K21:K28" si="5">IF($I21=0,"N",IF(I21=1,IF(J21&lt;=50,"L","A"),IF(I21&lt;=6,IF(J21&lt;20,"L",IF(J21&lt;=50,"A","H")),IF(J21&lt;20,"A","H"))))</f>
        <v>L</v>
      </c>
      <c r="L21" s="5"/>
      <c r="M21" s="23" t="s">
        <v>8</v>
      </c>
      <c r="N21" s="24" t="s">
        <v>27</v>
      </c>
      <c r="O21" s="23">
        <v>5.0</v>
      </c>
      <c r="P21" s="34">
        <f>10+5+3+1+1</f>
        <v>20</v>
      </c>
      <c r="Q21" s="26" t="str">
        <f t="shared" ref="Q21:Q28" si="6">IF($O21=0,"N",IF(O21=1,IF(P21&lt;=50,"L","A"),IF(O21&lt;=6,IF(P21&lt;20,"L",IF(P21&lt;=50,"A","H")),IF(P21&lt;20,"A","H"))))</f>
        <v>A</v>
      </c>
      <c r="R21" s="5"/>
      <c r="S21" s="5"/>
      <c r="T21" s="5"/>
      <c r="U21" s="5"/>
      <c r="V21" s="5"/>
      <c r="W21" s="5"/>
      <c r="X21" s="5"/>
      <c r="Y21" s="5"/>
      <c r="Z21" s="5"/>
    </row>
    <row r="22">
      <c r="A22" s="23" t="s">
        <v>6</v>
      </c>
      <c r="B22" s="24" t="s">
        <v>28</v>
      </c>
      <c r="C22" s="23">
        <v>3.0</v>
      </c>
      <c r="D22" s="24">
        <v>14.0</v>
      </c>
      <c r="E22" s="25" t="str">
        <f t="shared" si="4"/>
        <v>L</v>
      </c>
      <c r="F22" s="5"/>
      <c r="G22" s="23" t="s">
        <v>7</v>
      </c>
      <c r="H22" s="23" t="s">
        <v>29</v>
      </c>
      <c r="I22" s="24">
        <v>2.0</v>
      </c>
      <c r="J22" s="34">
        <v>11.0</v>
      </c>
      <c r="K22" s="25" t="str">
        <f t="shared" si="5"/>
        <v>L</v>
      </c>
      <c r="L22" s="5"/>
      <c r="M22" s="23" t="s">
        <v>8</v>
      </c>
      <c r="N22" s="24" t="s">
        <v>30</v>
      </c>
      <c r="O22" s="23">
        <v>5.0</v>
      </c>
      <c r="P22" s="34">
        <v>20.0</v>
      </c>
      <c r="Q22" s="25" t="str">
        <f t="shared" si="6"/>
        <v>A</v>
      </c>
      <c r="R22" s="5"/>
      <c r="S22" s="5"/>
      <c r="T22" s="5"/>
      <c r="U22" s="5"/>
      <c r="V22" s="5"/>
      <c r="W22" s="5"/>
      <c r="X22" s="5"/>
      <c r="Y22" s="5"/>
      <c r="Z22" s="5"/>
    </row>
    <row r="23">
      <c r="A23" s="23" t="s">
        <v>6</v>
      </c>
      <c r="B23" s="24" t="s">
        <v>31</v>
      </c>
      <c r="C23" s="23">
        <v>3.0</v>
      </c>
      <c r="D23" s="24">
        <v>14.0</v>
      </c>
      <c r="E23" s="25" t="str">
        <f t="shared" si="4"/>
        <v>L</v>
      </c>
      <c r="F23" s="5"/>
      <c r="G23" s="23" t="s">
        <v>7</v>
      </c>
      <c r="H23" s="23"/>
      <c r="I23" s="24"/>
      <c r="J23" s="34"/>
      <c r="K23" s="25" t="str">
        <f t="shared" si="5"/>
        <v>N</v>
      </c>
      <c r="L23" s="5"/>
      <c r="M23" s="23" t="s">
        <v>8</v>
      </c>
      <c r="N23" s="24" t="s">
        <v>32</v>
      </c>
      <c r="O23" s="23">
        <v>3.0</v>
      </c>
      <c r="P23" s="34">
        <v>7.0</v>
      </c>
      <c r="Q23" s="25" t="str">
        <f t="shared" si="6"/>
        <v>L</v>
      </c>
      <c r="R23" s="5"/>
      <c r="S23" s="5"/>
      <c r="T23" s="5"/>
      <c r="U23" s="5"/>
      <c r="V23" s="5"/>
      <c r="W23" s="5"/>
      <c r="X23" s="5"/>
      <c r="Y23" s="5"/>
      <c r="Z23" s="5"/>
    </row>
    <row r="24">
      <c r="A24" s="23" t="s">
        <v>6</v>
      </c>
      <c r="B24" s="24" t="s">
        <v>33</v>
      </c>
      <c r="C24" s="23">
        <v>2.0</v>
      </c>
      <c r="D24" s="24">
        <v>2.0</v>
      </c>
      <c r="E24" s="25" t="str">
        <f t="shared" si="4"/>
        <v>L</v>
      </c>
      <c r="F24" s="5"/>
      <c r="G24" s="23" t="s">
        <v>7</v>
      </c>
      <c r="H24" s="23"/>
      <c r="I24" s="24"/>
      <c r="J24" s="34"/>
      <c r="K24" s="25" t="str">
        <f t="shared" si="5"/>
        <v>N</v>
      </c>
      <c r="L24" s="5"/>
      <c r="M24" s="23" t="s">
        <v>8</v>
      </c>
      <c r="N24" s="24" t="s">
        <v>34</v>
      </c>
      <c r="O24" s="23">
        <v>2.0</v>
      </c>
      <c r="P24" s="34">
        <v>11.0</v>
      </c>
      <c r="Q24" s="25" t="str">
        <f t="shared" si="6"/>
        <v>L</v>
      </c>
      <c r="R24" s="5"/>
      <c r="S24" s="5"/>
      <c r="T24" s="5"/>
      <c r="U24" s="5"/>
      <c r="V24" s="5"/>
      <c r="W24" s="5"/>
      <c r="X24" s="5"/>
      <c r="Y24" s="5"/>
      <c r="Z24" s="5"/>
    </row>
    <row r="25">
      <c r="A25" s="23" t="s">
        <v>6</v>
      </c>
      <c r="B25" s="24" t="s">
        <v>35</v>
      </c>
      <c r="C25" s="23">
        <v>4.0</v>
      </c>
      <c r="D25" s="24">
        <v>10.0</v>
      </c>
      <c r="E25" s="25" t="str">
        <f t="shared" si="4"/>
        <v>L</v>
      </c>
      <c r="F25" s="5"/>
      <c r="G25" s="23" t="s">
        <v>7</v>
      </c>
      <c r="H25" s="23"/>
      <c r="I25" s="24"/>
      <c r="J25" s="34"/>
      <c r="K25" s="25" t="str">
        <f t="shared" si="5"/>
        <v>N</v>
      </c>
      <c r="L25" s="5"/>
      <c r="M25" s="23" t="s">
        <v>8</v>
      </c>
      <c r="N25" s="24" t="s">
        <v>36</v>
      </c>
      <c r="O25" s="23">
        <v>3.0</v>
      </c>
      <c r="P25" s="34">
        <v>12.0</v>
      </c>
      <c r="Q25" s="25" t="str">
        <f t="shared" si="6"/>
        <v>L</v>
      </c>
      <c r="R25" s="5"/>
      <c r="S25" s="5"/>
      <c r="T25" s="5"/>
      <c r="U25" s="5"/>
      <c r="V25" s="5"/>
      <c r="W25" s="5"/>
      <c r="X25" s="5"/>
      <c r="Y25" s="5"/>
      <c r="Z25" s="5"/>
    </row>
    <row r="26">
      <c r="A26" s="23" t="s">
        <v>6</v>
      </c>
      <c r="B26" s="24" t="s">
        <v>37</v>
      </c>
      <c r="C26" s="23">
        <v>2.0</v>
      </c>
      <c r="D26" s="24">
        <v>3.0</v>
      </c>
      <c r="E26" s="25" t="str">
        <f t="shared" si="4"/>
        <v>L</v>
      </c>
      <c r="F26" s="5"/>
      <c r="G26" s="23" t="s">
        <v>7</v>
      </c>
      <c r="H26" s="23"/>
      <c r="I26" s="24"/>
      <c r="J26" s="35"/>
      <c r="K26" s="25" t="str">
        <f t="shared" si="5"/>
        <v>N</v>
      </c>
      <c r="L26" s="5"/>
      <c r="M26" s="23" t="s">
        <v>8</v>
      </c>
      <c r="N26" s="24"/>
      <c r="O26" s="23"/>
      <c r="P26" s="34"/>
      <c r="Q26" s="25" t="str">
        <f t="shared" si="6"/>
        <v>N</v>
      </c>
      <c r="R26" s="5"/>
      <c r="S26" s="5"/>
      <c r="T26" s="5"/>
      <c r="U26" s="5"/>
      <c r="V26" s="5"/>
      <c r="W26" s="5"/>
      <c r="X26" s="5"/>
      <c r="Y26" s="5"/>
      <c r="Z26" s="5"/>
    </row>
    <row r="27">
      <c r="A27" s="23" t="s">
        <v>6</v>
      </c>
      <c r="B27" s="24" t="s">
        <v>38</v>
      </c>
      <c r="C27" s="23">
        <v>2.0</v>
      </c>
      <c r="D27" s="24">
        <v>3.0</v>
      </c>
      <c r="E27" s="25" t="str">
        <f t="shared" si="4"/>
        <v>L</v>
      </c>
      <c r="F27" s="5"/>
      <c r="G27" s="23" t="s">
        <v>7</v>
      </c>
      <c r="H27" s="23"/>
      <c r="I27" s="24"/>
      <c r="J27" s="35"/>
      <c r="K27" s="25" t="str">
        <f t="shared" si="5"/>
        <v>N</v>
      </c>
      <c r="L27" s="5"/>
      <c r="M27" s="23" t="s">
        <v>8</v>
      </c>
      <c r="N27" s="24"/>
      <c r="O27" s="23"/>
      <c r="P27" s="34"/>
      <c r="Q27" s="25" t="str">
        <f t="shared" si="6"/>
        <v>N</v>
      </c>
      <c r="R27" s="5"/>
      <c r="S27" s="5"/>
      <c r="T27" s="5"/>
      <c r="U27" s="5"/>
      <c r="V27" s="5"/>
      <c r="W27" s="5"/>
      <c r="X27" s="5"/>
      <c r="Y27" s="5"/>
      <c r="Z27" s="5"/>
    </row>
    <row r="28">
      <c r="A28" s="27" t="s">
        <v>6</v>
      </c>
      <c r="B28" s="28" t="s">
        <v>39</v>
      </c>
      <c r="C28" s="27">
        <v>2.0</v>
      </c>
      <c r="D28" s="28">
        <v>3.0</v>
      </c>
      <c r="E28" s="29" t="str">
        <f t="shared" si="4"/>
        <v>L</v>
      </c>
      <c r="F28" s="5"/>
      <c r="G28" s="27" t="s">
        <v>7</v>
      </c>
      <c r="H28" s="27"/>
      <c r="I28" s="30"/>
      <c r="J28" s="36"/>
      <c r="K28" s="29" t="str">
        <f t="shared" si="5"/>
        <v>N</v>
      </c>
      <c r="L28" s="5"/>
      <c r="M28" s="27" t="s">
        <v>8</v>
      </c>
      <c r="N28" s="28"/>
      <c r="O28" s="27"/>
      <c r="P28" s="37"/>
      <c r="Q28" s="29" t="str">
        <f t="shared" si="6"/>
        <v>N</v>
      </c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8" t="s">
        <v>40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9" t="s">
        <v>41</v>
      </c>
      <c r="B33" s="40"/>
      <c r="C33" s="41"/>
      <c r="D33" s="42" t="s">
        <v>42</v>
      </c>
      <c r="E33" s="41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3" t="s">
        <v>43</v>
      </c>
      <c r="B34" s="44"/>
      <c r="C34" s="45"/>
      <c r="D34" s="46">
        <v>3.0</v>
      </c>
      <c r="E34" s="4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7" t="s">
        <v>44</v>
      </c>
      <c r="B35" s="48"/>
      <c r="C35" s="49"/>
      <c r="D35" s="50">
        <v>2.0</v>
      </c>
      <c r="E35" s="4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7" t="s">
        <v>45</v>
      </c>
      <c r="B36" s="48"/>
      <c r="C36" s="49"/>
      <c r="D36" s="50">
        <v>3.0</v>
      </c>
      <c r="E36" s="4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7" t="s">
        <v>46</v>
      </c>
      <c r="B37" s="48"/>
      <c r="C37" s="49"/>
      <c r="D37" s="50">
        <v>3.0</v>
      </c>
      <c r="E37" s="4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7" t="s">
        <v>47</v>
      </c>
      <c r="B38" s="48"/>
      <c r="C38" s="49"/>
      <c r="D38" s="50">
        <v>2.0</v>
      </c>
      <c r="E38" s="4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7" t="s">
        <v>48</v>
      </c>
      <c r="B39" s="48"/>
      <c r="C39" s="49"/>
      <c r="D39" s="51">
        <v>5.0</v>
      </c>
      <c r="E39" s="4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7" t="s">
        <v>49</v>
      </c>
      <c r="B40" s="48"/>
      <c r="C40" s="49"/>
      <c r="D40" s="51">
        <v>2.0</v>
      </c>
      <c r="E40" s="4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7" t="s">
        <v>50</v>
      </c>
      <c r="B41" s="48"/>
      <c r="C41" s="49"/>
      <c r="D41" s="50">
        <v>3.0</v>
      </c>
      <c r="E41" s="4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7" t="s">
        <v>51</v>
      </c>
      <c r="B42" s="48"/>
      <c r="C42" s="49"/>
      <c r="D42" s="50">
        <v>0.0</v>
      </c>
      <c r="E42" s="4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7" t="s">
        <v>52</v>
      </c>
      <c r="B43" s="48"/>
      <c r="C43" s="49"/>
      <c r="D43" s="50">
        <v>4.0</v>
      </c>
      <c r="E43" s="4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7" t="s">
        <v>53</v>
      </c>
      <c r="B44" s="48"/>
      <c r="C44" s="49"/>
      <c r="D44" s="50">
        <v>4.0</v>
      </c>
      <c r="E44" s="4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7" t="s">
        <v>54</v>
      </c>
      <c r="B45" s="48"/>
      <c r="C45" s="49"/>
      <c r="D45" s="50">
        <v>3.0</v>
      </c>
      <c r="E45" s="4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7" t="s">
        <v>55</v>
      </c>
      <c r="B46" s="48"/>
      <c r="C46" s="49"/>
      <c r="D46" s="50">
        <v>1.0</v>
      </c>
      <c r="E46" s="4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2" t="s">
        <v>56</v>
      </c>
      <c r="B47" s="53"/>
      <c r="C47" s="54"/>
      <c r="D47" s="55">
        <v>0.0</v>
      </c>
      <c r="E47" s="5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6" t="s">
        <v>57</v>
      </c>
      <c r="B48" s="40"/>
      <c r="C48" s="41"/>
      <c r="D48" s="57">
        <f>SUM(D34:E47)</f>
        <v>35</v>
      </c>
      <c r="E48" s="4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8" t="s">
        <v>58</v>
      </c>
      <c r="B50" s="40"/>
      <c r="C50" s="41"/>
      <c r="D50" s="59">
        <f>0.65+(0.01*D48:E48)</f>
        <v>1</v>
      </c>
      <c r="E50" s="4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0" t="s">
        <v>59</v>
      </c>
      <c r="B51" s="40"/>
      <c r="C51" s="41"/>
      <c r="D51" s="61">
        <f>E7*D50</f>
        <v>91</v>
      </c>
      <c r="E51" s="4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</sheetData>
  <mergeCells count="37">
    <mergeCell ref="A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D39:E39"/>
    <mergeCell ref="A39:C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D46:E46"/>
    <mergeCell ref="A51:C51"/>
    <mergeCell ref="D51:E51"/>
    <mergeCell ref="A46:C46"/>
    <mergeCell ref="A47:C47"/>
    <mergeCell ref="D47:E47"/>
    <mergeCell ref="A48:C48"/>
    <mergeCell ref="D48:E48"/>
    <mergeCell ref="A50:C50"/>
    <mergeCell ref="D50:E50"/>
  </mergeCells>
  <drawing r:id="rId1"/>
</worksheet>
</file>